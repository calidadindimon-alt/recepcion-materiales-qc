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Cobro mens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 #,##0"/>
    <numFmt numFmtId="165" formatCode="yyyy-mm-dd"/>
    <numFmt numFmtId="166" formatCode="mmmm yyyy"/>
    <numFmt numFmtId="167" formatCode="dd/mm/yyyy"/>
  </numFmts>
  <fonts count="7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b val="1"/>
    </font>
    <font>
      <b val="1"/>
      <sz val="14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0" fillId="3" borderId="1" pivotButton="0" quotePrefix="0" xfId="0"/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166" fontId="0" fillId="3" borderId="1" pivotButton="0" quotePrefix="0" xfId="0"/>
    <xf numFmtId="167" fontId="0" fillId="0" borderId="0" pivotButton="0" quotePrefix="0" xfId="0"/>
    <xf numFmtId="0" fontId="0" fillId="3" borderId="1" pivotButton="0" quotePrefix="0" xfId="0"/>
    <xf numFmtId="4" fontId="0" fillId="0" borderId="1" pivotButton="0" quotePrefix="0" xfId="0"/>
    <xf numFmtId="164" fontId="0" fillId="0" borderId="1" pivotButton="0" quotePrefix="0" xfId="0"/>
    <xf numFmtId="4" fontId="4" fillId="0" borderId="1" pivotButton="0" quotePrefix="0" xfId="0"/>
    <xf numFmtId="164" fontId="4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INDIMON S.A.S. — MAESTRO DE GERENCIA: COBRO POR METRO LINEAL DE TUBERÍA</t>
        </is>
      </c>
    </row>
    <row r="2">
      <c r="A2" s="2" t="inlineStr"/>
    </row>
    <row r="3">
      <c r="A3" s="2" t="inlineStr">
        <is>
          <t>1. TARIFAS: escriba el valor en pesos por metro lineal (ML) para cada diámetro en las celdas amarillas.</t>
        </is>
      </c>
    </row>
    <row r="4">
      <c r="A4" s="2" t="inlineStr">
        <is>
          <t xml:space="preserve">   Hay cuatro tarifas: taller soldado, taller liberado, campo soldado y campo liberado. Deje en 0 las que no se cobran</t>
        </is>
      </c>
    </row>
    <row r="5">
      <c r="A5" s="2" t="inlineStr">
        <is>
          <t xml:space="preserve">   (por ejemplo, si solo se cobra lo liberado, deje en 0 las columnas de soldado).</t>
        </is>
      </c>
    </row>
    <row r="6">
      <c r="A6" s="2" t="inlineStr">
        <is>
          <t>2. DATOS: cada obra envía cada semana el archivo AVANCE_&lt;obra&gt;_&lt;línea&gt;_&lt;semana&gt;.xlsx generado por INDIMON CAD.</t>
        </is>
      </c>
    </row>
    <row r="7">
      <c r="A7" s="2" t="inlineStr">
        <is>
          <t xml:space="preserve">   Opción A (manual): copie las filas de la hoja «Datos» de cada reporte (sin el encabezado) y péguelas debajo de la última fila de la hoja «Datos» de este libro.</t>
        </is>
      </c>
    </row>
    <row r="8">
      <c r="A8" s="2" t="inlineStr">
        <is>
          <t xml:space="preserve">   Opción B (Microsoft 365, automática): guarde los reportes en una carpeta de SharePoint/OneDrive (una subcarpeta por obra si quiere).</t>
        </is>
      </c>
    </row>
    <row r="9">
      <c r="A9" s="2" t="inlineStr">
        <is>
          <t xml:space="preserve">      En este libro: Datos &gt; Obtener datos &gt; Desde archivo &gt; Desde carpeta de SharePoint (o Desde carpeta) &gt; elija la carpeta &gt;</t>
        </is>
      </c>
    </row>
    <row r="10">
      <c r="A10" s="2" t="inlineStr">
        <is>
          <t xml:space="preserve">      Combinar y transformar &gt; hoja «Datos» &gt; Cerrar y cargar en… &gt; Tabla en hoja existente: celda A1 de la hoja «Datos».</t>
        </is>
      </c>
    </row>
    <row r="11">
      <c r="A11" s="2" t="inlineStr">
        <is>
          <t xml:space="preserve">      Cada semana solo use Datos &gt; Actualizar todo.</t>
        </is>
      </c>
    </row>
    <row r="12">
      <c r="A12" s="2" t="inlineStr">
        <is>
          <t xml:space="preserve">   Cada reporte trae solo los eventos nuevos (juntas soldadas o liberadas no reportadas antes), así que se pueden sumar todos sin duplicar metros.</t>
        </is>
      </c>
    </row>
    <row r="13">
      <c r="A13" s="2" t="inlineStr">
        <is>
          <t xml:space="preserve">   No guarde dos veces el mismo reporte en la carpeta. La columna ID identifica cada evento por si necesita revisar duplicados.</t>
        </is>
      </c>
    </row>
    <row r="14">
      <c r="A14" s="2" t="inlineStr">
        <is>
          <t>3. COBRO MENSUAL: elija el mes (cualquier fecha de ese mes) y la obra (o TODAS). Se calculan los ML del mes por diámetro y su valor.</t>
        </is>
      </c>
    </row>
    <row r="15">
      <c r="A15" s="2" t="inlineStr">
        <is>
          <t xml:space="preserve">   El mes se toma de la fecha real del evento (fecha de soldadura o de liberación).</t>
        </is>
      </c>
    </row>
    <row r="16">
      <c r="A16" s="2" t="inlineStr"/>
    </row>
    <row r="17">
      <c r="A17" s="2" t="inlineStr">
        <is>
          <t>Los metros de cada tubo (centro a centro) se reparten por partes iguales entre las juntas del tubo: así cada metro se cuenta una sola vez.</t>
        </is>
      </c>
    </row>
    <row r="18">
      <c r="A18" s="2" t="inlineStr">
        <is>
          <t>TALLER = soldadura en taller (S, shop weld). CAMPO = soldadura en campo (F, field weld). SIN DEFINIR = la junta no tiene taller/campo: corríjalo en la obra.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3" t="inlineStr">
        <is>
          <t>NPS</t>
        </is>
      </c>
      <c r="B1" s="3" t="inlineStr">
        <is>
          <t>TALLER SOLDADO $/ML</t>
        </is>
      </c>
      <c r="C1" s="3" t="inlineStr">
        <is>
          <t>TALLER LIBERADO $/ML</t>
        </is>
      </c>
      <c r="D1" s="3" t="inlineStr">
        <is>
          <t>CAMPO SOLDADO $/ML</t>
        </is>
      </c>
      <c r="E1" s="3" t="inlineStr">
        <is>
          <t>CAMPO LIBERADO $/ML</t>
        </is>
      </c>
    </row>
    <row r="2">
      <c r="A2" s="4" t="inlineStr">
        <is>
          <t>1/4"</t>
        </is>
      </c>
      <c r="B2" s="5" t="n">
        <v>0</v>
      </c>
      <c r="C2" s="5" t="n">
        <v>0</v>
      </c>
      <c r="D2" s="5" t="n">
        <v>0</v>
      </c>
      <c r="E2" s="5" t="n">
        <v>0</v>
      </c>
    </row>
    <row r="3">
      <c r="A3" s="4" t="inlineStr">
        <is>
          <t>3/8"</t>
        </is>
      </c>
      <c r="B3" s="5" t="n">
        <v>0</v>
      </c>
      <c r="C3" s="5" t="n">
        <v>0</v>
      </c>
      <c r="D3" s="5" t="n">
        <v>0</v>
      </c>
      <c r="E3" s="5" t="n">
        <v>0</v>
      </c>
    </row>
    <row r="4">
      <c r="A4" s="4" t="inlineStr">
        <is>
          <t>1/2"</t>
        </is>
      </c>
      <c r="B4" s="5" t="n">
        <v>0</v>
      </c>
      <c r="C4" s="5" t="n">
        <v>0</v>
      </c>
      <c r="D4" s="5" t="n">
        <v>0</v>
      </c>
      <c r="E4" s="5" t="n">
        <v>0</v>
      </c>
    </row>
    <row r="5">
      <c r="A5" s="4" t="inlineStr">
        <is>
          <t>3/4"</t>
        </is>
      </c>
      <c r="B5" s="5" t="n">
        <v>0</v>
      </c>
      <c r="C5" s="5" t="n">
        <v>0</v>
      </c>
      <c r="D5" s="5" t="n">
        <v>0</v>
      </c>
      <c r="E5" s="5" t="n">
        <v>0</v>
      </c>
    </row>
    <row r="6">
      <c r="A6" s="4" t="inlineStr">
        <is>
          <t>1"</t>
        </is>
      </c>
      <c r="B6" s="5" t="n">
        <v>0</v>
      </c>
      <c r="C6" s="5" t="n">
        <v>0</v>
      </c>
      <c r="D6" s="5" t="n">
        <v>0</v>
      </c>
      <c r="E6" s="5" t="n">
        <v>0</v>
      </c>
    </row>
    <row r="7">
      <c r="A7" s="4" t="inlineStr">
        <is>
          <t>1-1/4"</t>
        </is>
      </c>
      <c r="B7" s="5" t="n">
        <v>0</v>
      </c>
      <c r="C7" s="5" t="n">
        <v>0</v>
      </c>
      <c r="D7" s="5" t="n">
        <v>0</v>
      </c>
      <c r="E7" s="5" t="n">
        <v>0</v>
      </c>
    </row>
    <row r="8">
      <c r="A8" s="4" t="inlineStr">
        <is>
          <t>1-1/2"</t>
        </is>
      </c>
      <c r="B8" s="5" t="n">
        <v>0</v>
      </c>
      <c r="C8" s="5" t="n">
        <v>0</v>
      </c>
      <c r="D8" s="5" t="n">
        <v>0</v>
      </c>
      <c r="E8" s="5" t="n">
        <v>0</v>
      </c>
    </row>
    <row r="9">
      <c r="A9" s="4" t="inlineStr">
        <is>
          <t>2"</t>
        </is>
      </c>
      <c r="B9" s="5" t="n">
        <v>0</v>
      </c>
      <c r="C9" s="5" t="n">
        <v>0</v>
      </c>
      <c r="D9" s="5" t="n">
        <v>0</v>
      </c>
      <c r="E9" s="5" t="n">
        <v>0</v>
      </c>
    </row>
    <row r="10">
      <c r="A10" s="4" t="inlineStr">
        <is>
          <t>2-1/2"</t>
        </is>
      </c>
      <c r="B10" s="5" t="n">
        <v>0</v>
      </c>
      <c r="C10" s="5" t="n">
        <v>0</v>
      </c>
      <c r="D10" s="5" t="n">
        <v>0</v>
      </c>
      <c r="E10" s="5" t="n">
        <v>0</v>
      </c>
    </row>
    <row r="11">
      <c r="A11" s="4" t="inlineStr">
        <is>
          <t>3"</t>
        </is>
      </c>
      <c r="B11" s="5" t="n">
        <v>0</v>
      </c>
      <c r="C11" s="5" t="n">
        <v>0</v>
      </c>
      <c r="D11" s="5" t="n">
        <v>0</v>
      </c>
      <c r="E11" s="5" t="n">
        <v>0</v>
      </c>
    </row>
    <row r="12">
      <c r="A12" s="4" t="inlineStr">
        <is>
          <t>4"</t>
        </is>
      </c>
      <c r="B12" s="5" t="n">
        <v>0</v>
      </c>
      <c r="C12" s="5" t="n">
        <v>0</v>
      </c>
      <c r="D12" s="5" t="n">
        <v>0</v>
      </c>
      <c r="E12" s="5" t="n">
        <v>0</v>
      </c>
    </row>
    <row r="13">
      <c r="A13" s="4" t="inlineStr">
        <is>
          <t>6"</t>
        </is>
      </c>
      <c r="B13" s="5" t="n">
        <v>0</v>
      </c>
      <c r="C13" s="5" t="n">
        <v>0</v>
      </c>
      <c r="D13" s="5" t="n">
        <v>0</v>
      </c>
      <c r="E13" s="5" t="n">
        <v>0</v>
      </c>
    </row>
    <row r="14">
      <c r="A14" s="4" t="inlineStr">
        <is>
          <t>8"</t>
        </is>
      </c>
      <c r="B14" s="5" t="n">
        <v>0</v>
      </c>
      <c r="C14" s="5" t="n">
        <v>0</v>
      </c>
      <c r="D14" s="5" t="n">
        <v>0</v>
      </c>
      <c r="E14" s="5" t="n">
        <v>0</v>
      </c>
    </row>
    <row r="15">
      <c r="A15" s="4" t="inlineStr">
        <is>
          <t>10"</t>
        </is>
      </c>
      <c r="B15" s="5" t="n">
        <v>0</v>
      </c>
      <c r="C15" s="5" t="n">
        <v>0</v>
      </c>
      <c r="D15" s="5" t="n">
        <v>0</v>
      </c>
      <c r="E15" s="5" t="n">
        <v>0</v>
      </c>
    </row>
    <row r="16">
      <c r="A16" s="4" t="inlineStr">
        <is>
          <t>12"</t>
        </is>
      </c>
      <c r="B16" s="5" t="n">
        <v>0</v>
      </c>
      <c r="C16" s="5" t="n">
        <v>0</v>
      </c>
      <c r="D16" s="5" t="n">
        <v>0</v>
      </c>
      <c r="E16" s="5" t="n">
        <v>0</v>
      </c>
    </row>
    <row r="17">
      <c r="A17" s="4" t="inlineStr">
        <is>
          <t>14"</t>
        </is>
      </c>
      <c r="B17" s="5" t="n">
        <v>0</v>
      </c>
      <c r="C17" s="5" t="n">
        <v>0</v>
      </c>
      <c r="D17" s="5" t="n">
        <v>0</v>
      </c>
      <c r="E17" s="5" t="n">
        <v>0</v>
      </c>
    </row>
    <row r="18">
      <c r="A18" s="4" t="inlineStr">
        <is>
          <t>16"</t>
        </is>
      </c>
      <c r="B18" s="5" t="n">
        <v>0</v>
      </c>
      <c r="C18" s="5" t="n">
        <v>0</v>
      </c>
      <c r="D18" s="5" t="n">
        <v>0</v>
      </c>
      <c r="E18" s="5" t="n">
        <v>0</v>
      </c>
    </row>
    <row r="19">
      <c r="A19" s="4" t="inlineStr">
        <is>
          <t>18"</t>
        </is>
      </c>
      <c r="B19" s="5" t="n">
        <v>0</v>
      </c>
      <c r="C19" s="5" t="n">
        <v>0</v>
      </c>
      <c r="D19" s="5" t="n">
        <v>0</v>
      </c>
      <c r="E19" s="5" t="n">
        <v>0</v>
      </c>
    </row>
    <row r="20">
      <c r="A20" s="4" t="inlineStr">
        <is>
          <t>20"</t>
        </is>
      </c>
      <c r="B20" s="5" t="n">
        <v>0</v>
      </c>
      <c r="C20" s="5" t="n">
        <v>0</v>
      </c>
      <c r="D20" s="5" t="n">
        <v>0</v>
      </c>
      <c r="E20" s="5" t="n">
        <v>0</v>
      </c>
    </row>
    <row r="21">
      <c r="A21" s="4" t="inlineStr">
        <is>
          <t>24"</t>
        </is>
      </c>
      <c r="B21" s="5" t="n">
        <v>0</v>
      </c>
      <c r="C21" s="5" t="n">
        <v>0</v>
      </c>
      <c r="D21" s="5" t="n">
        <v>0</v>
      </c>
      <c r="E2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8" customWidth="1" min="4" max="4"/>
    <col width="8" customWidth="1" min="5" max="5"/>
    <col width="22" customWidth="1" min="6" max="6"/>
    <col width="13" customWidth="1" min="7" max="7"/>
    <col width="11" customWidth="1" min="8" max="8"/>
    <col width="11" customWidth="1" min="9" max="9"/>
    <col width="9" customWidth="1" min="10" max="10"/>
    <col width="15" customWidth="1" min="11" max="11"/>
    <col width="9" customWidth="1" min="12" max="12"/>
    <col width="10" customWidth="1" min="13" max="13"/>
    <col width="18" customWidth="1" min="14" max="14"/>
    <col width="18" customWidth="1" min="15" max="15"/>
    <col width="16" customWidth="1" min="16" max="16"/>
    <col width="34" customWidth="1" min="17" max="17"/>
    <col width="17" customWidth="1" min="18" max="18"/>
  </cols>
  <sheetData>
    <row r="1">
      <c r="A1" s="6" t="inlineStr">
        <is>
          <t>OBRA</t>
        </is>
      </c>
      <c r="B1" s="6" t="inlineStr">
        <is>
          <t>CLIENTE</t>
        </is>
      </c>
      <c r="C1" s="6" t="inlineStr">
        <is>
          <t>LINEA</t>
        </is>
      </c>
      <c r="D1" s="6" t="inlineStr">
        <is>
          <t>JUNTA</t>
        </is>
      </c>
      <c r="E1" s="6" t="inlineStr">
        <is>
          <t>NPS</t>
        </is>
      </c>
      <c r="F1" s="6" t="inlineStr">
        <is>
          <t>ESPECIFICACION</t>
        </is>
      </c>
      <c r="G1" s="6" t="inlineStr">
        <is>
          <t>TALLER_CAMPO</t>
        </is>
      </c>
      <c r="H1" s="6" t="inlineStr">
        <is>
          <t>EVENTO</t>
        </is>
      </c>
      <c r="I1" s="6" t="inlineStr">
        <is>
          <t>FECHA</t>
        </is>
      </c>
      <c r="J1" s="6" t="inlineStr">
        <is>
          <t>MES</t>
        </is>
      </c>
      <c r="K1" s="6" t="inlineStr">
        <is>
          <t>SEMANA_REPORTE</t>
        </is>
      </c>
      <c r="L1" s="6" t="inlineStr">
        <is>
          <t>ML</t>
        </is>
      </c>
      <c r="M1" s="6" t="inlineStr">
        <is>
          <t>TIPO_JUNTA</t>
        </is>
      </c>
      <c r="N1" s="6" t="inlineStr">
        <is>
          <t>SOLDADOR_RAIZ</t>
        </is>
      </c>
      <c r="O1" s="6" t="inlineStr">
        <is>
          <t>SOLDADOR_PRES</t>
        </is>
      </c>
      <c r="P1" s="6" t="inlineStr">
        <is>
          <t>TUBERO</t>
        </is>
      </c>
      <c r="Q1" s="6" t="inlineStr">
        <is>
          <t>ID</t>
        </is>
      </c>
      <c r="R1" s="6" t="inlineStr">
        <is>
          <t>GENERADO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7" t="inlineStr">
        <is>
          <t>COBRO MENSUAL POR METRO LINEAL DE TUBERÍA</t>
        </is>
      </c>
    </row>
    <row r="3">
      <c r="A3" s="8" t="inlineStr">
        <is>
          <t>MES (cualquier fecha del mes):</t>
        </is>
      </c>
      <c r="D3" s="9" t="n">
        <v>46296</v>
      </c>
      <c r="F3" t="inlineStr">
        <is>
          <t>Desde</t>
        </is>
      </c>
      <c r="G3" s="10">
        <f>DATE(YEAR(D3),MONTH(D3),1)</f>
        <v/>
      </c>
    </row>
    <row r="4">
      <c r="A4" s="8" t="inlineStr">
        <is>
          <t>OBRA (o TODAS):</t>
        </is>
      </c>
      <c r="D4" s="11" t="inlineStr">
        <is>
          <t>TODAS</t>
        </is>
      </c>
      <c r="F4" t="inlineStr">
        <is>
          <t>Hasta</t>
        </is>
      </c>
      <c r="G4" s="10">
        <f>EOMONTH(D3,0)</f>
        <v/>
      </c>
    </row>
    <row r="7" ht="32" customHeight="1">
      <c r="A7" s="3" t="inlineStr">
        <is>
          <t>NPS</t>
        </is>
      </c>
      <c r="B7" s="3" t="inlineStr">
        <is>
          <t>TALLER SOLDADO ML</t>
        </is>
      </c>
      <c r="C7" s="3" t="inlineStr">
        <is>
          <t>VALOR</t>
        </is>
      </c>
      <c r="D7" s="3" t="inlineStr">
        <is>
          <t>TALLER LIBERADO ML</t>
        </is>
      </c>
      <c r="E7" s="3" t="inlineStr">
        <is>
          <t>VALOR</t>
        </is>
      </c>
      <c r="F7" s="3" t="inlineStr">
        <is>
          <t>CAMPO SOLDADO ML</t>
        </is>
      </c>
      <c r="G7" s="3" t="inlineStr">
        <is>
          <t>VALOR</t>
        </is>
      </c>
      <c r="H7" s="3" t="inlineStr">
        <is>
          <t>CAMPO LIBERADO ML</t>
        </is>
      </c>
      <c r="I7" s="3" t="inlineStr">
        <is>
          <t>VALOR</t>
        </is>
      </c>
      <c r="J7" s="3" t="inlineStr">
        <is>
          <t>SIN DEFINIR ML</t>
        </is>
      </c>
      <c r="K7" s="3" t="inlineStr">
        <is>
          <t>TOTAL $</t>
        </is>
      </c>
    </row>
    <row r="8">
      <c r="A8" s="4" t="inlineStr">
        <is>
          <t>1/4"</t>
        </is>
      </c>
      <c r="B8" s="12">
        <f>SUMIFS(Datos!$L:$L,Datos!$E:$E,$A8,Datos!$I:$I,"&gt;="&amp;$G$3,Datos!$I:$I,"&lt;="&amp;$G$4,Datos!$A:$A,IF($D$4="TODAS","*",$D$4),Datos!$G:$G,"TALLER",Datos!$H:$H,"SOLDADA")</f>
        <v/>
      </c>
      <c r="C8" s="13">
        <f>B8*Tarifas!B2</f>
        <v/>
      </c>
      <c r="D8" s="12">
        <f>SUMIFS(Datos!$L:$L,Datos!$E:$E,$A8,Datos!$I:$I,"&gt;="&amp;$G$3,Datos!$I:$I,"&lt;="&amp;$G$4,Datos!$A:$A,IF($D$4="TODAS","*",$D$4),Datos!$G:$G,"TALLER",Datos!$H:$H,"LIBERADA")</f>
        <v/>
      </c>
      <c r="E8" s="13">
        <f>D8*Tarifas!C2</f>
        <v/>
      </c>
      <c r="F8" s="12">
        <f>SUMIFS(Datos!$L:$L,Datos!$E:$E,$A8,Datos!$I:$I,"&gt;="&amp;$G$3,Datos!$I:$I,"&lt;="&amp;$G$4,Datos!$A:$A,IF($D$4="TODAS","*",$D$4),Datos!$G:$G,"CAMPO",Datos!$H:$H,"SOLDADA")</f>
        <v/>
      </c>
      <c r="G8" s="13">
        <f>F8*Tarifas!D2</f>
        <v/>
      </c>
      <c r="H8" s="12">
        <f>SUMIFS(Datos!$L:$L,Datos!$E:$E,$A8,Datos!$I:$I,"&gt;="&amp;$G$3,Datos!$I:$I,"&lt;="&amp;$G$4,Datos!$A:$A,IF($D$4="TODAS","*",$D$4),Datos!$G:$G,"CAMPO",Datos!$H:$H,"LIBERADA")</f>
        <v/>
      </c>
      <c r="I8" s="13">
        <f>H8*Tarifas!E2</f>
        <v/>
      </c>
      <c r="J8" s="12">
        <f>SUMIFS(Datos!$L:$L,Datos!$E:$E,$A8,Datos!$I:$I,"&gt;="&amp;$G$3,Datos!$I:$I,"&lt;="&amp;$G$4,Datos!$A:$A,IF($D$4="TODAS","*",$D$4),Datos!$G:$G,"SIN DEFINIR")</f>
        <v/>
      </c>
      <c r="K8" s="13">
        <f>C8+E8+G8+I8</f>
        <v/>
      </c>
    </row>
    <row r="9">
      <c r="A9" s="4" t="inlineStr">
        <is>
          <t>3/8"</t>
        </is>
      </c>
      <c r="B9" s="12">
        <f>SUMIFS(Datos!$L:$L,Datos!$E:$E,$A9,Datos!$I:$I,"&gt;="&amp;$G$3,Datos!$I:$I,"&lt;="&amp;$G$4,Datos!$A:$A,IF($D$4="TODAS","*",$D$4),Datos!$G:$G,"TALLER",Datos!$H:$H,"SOLDADA")</f>
        <v/>
      </c>
      <c r="C9" s="13">
        <f>B9*Tarifas!B3</f>
        <v/>
      </c>
      <c r="D9" s="12">
        <f>SUMIFS(Datos!$L:$L,Datos!$E:$E,$A9,Datos!$I:$I,"&gt;="&amp;$G$3,Datos!$I:$I,"&lt;="&amp;$G$4,Datos!$A:$A,IF($D$4="TODAS","*",$D$4),Datos!$G:$G,"TALLER",Datos!$H:$H,"LIBERADA")</f>
        <v/>
      </c>
      <c r="E9" s="13">
        <f>D9*Tarifas!C3</f>
        <v/>
      </c>
      <c r="F9" s="12">
        <f>SUMIFS(Datos!$L:$L,Datos!$E:$E,$A9,Datos!$I:$I,"&gt;="&amp;$G$3,Datos!$I:$I,"&lt;="&amp;$G$4,Datos!$A:$A,IF($D$4="TODAS","*",$D$4),Datos!$G:$G,"CAMPO",Datos!$H:$H,"SOLDADA")</f>
        <v/>
      </c>
      <c r="G9" s="13">
        <f>F9*Tarifas!D3</f>
        <v/>
      </c>
      <c r="H9" s="12">
        <f>SUMIFS(Datos!$L:$L,Datos!$E:$E,$A9,Datos!$I:$I,"&gt;="&amp;$G$3,Datos!$I:$I,"&lt;="&amp;$G$4,Datos!$A:$A,IF($D$4="TODAS","*",$D$4),Datos!$G:$G,"CAMPO",Datos!$H:$H,"LIBERADA")</f>
        <v/>
      </c>
      <c r="I9" s="13">
        <f>H9*Tarifas!E3</f>
        <v/>
      </c>
      <c r="J9" s="12">
        <f>SUMIFS(Datos!$L:$L,Datos!$E:$E,$A9,Datos!$I:$I,"&gt;="&amp;$G$3,Datos!$I:$I,"&lt;="&amp;$G$4,Datos!$A:$A,IF($D$4="TODAS","*",$D$4),Datos!$G:$G,"SIN DEFINIR")</f>
        <v/>
      </c>
      <c r="K9" s="13">
        <f>C9+E9+G9+I9</f>
        <v/>
      </c>
    </row>
    <row r="10">
      <c r="A10" s="4" t="inlineStr">
        <is>
          <t>1/2"</t>
        </is>
      </c>
      <c r="B10" s="12">
        <f>SUMIFS(Datos!$L:$L,Datos!$E:$E,$A10,Datos!$I:$I,"&gt;="&amp;$G$3,Datos!$I:$I,"&lt;="&amp;$G$4,Datos!$A:$A,IF($D$4="TODAS","*",$D$4),Datos!$G:$G,"TALLER",Datos!$H:$H,"SOLDADA")</f>
        <v/>
      </c>
      <c r="C10" s="13">
        <f>B10*Tarifas!B4</f>
        <v/>
      </c>
      <c r="D10" s="12">
        <f>SUMIFS(Datos!$L:$L,Datos!$E:$E,$A10,Datos!$I:$I,"&gt;="&amp;$G$3,Datos!$I:$I,"&lt;="&amp;$G$4,Datos!$A:$A,IF($D$4="TODAS","*",$D$4),Datos!$G:$G,"TALLER",Datos!$H:$H,"LIBERADA")</f>
        <v/>
      </c>
      <c r="E10" s="13">
        <f>D10*Tarifas!C4</f>
        <v/>
      </c>
      <c r="F10" s="12">
        <f>SUMIFS(Datos!$L:$L,Datos!$E:$E,$A10,Datos!$I:$I,"&gt;="&amp;$G$3,Datos!$I:$I,"&lt;="&amp;$G$4,Datos!$A:$A,IF($D$4="TODAS","*",$D$4),Datos!$G:$G,"CAMPO",Datos!$H:$H,"SOLDADA")</f>
        <v/>
      </c>
      <c r="G10" s="13">
        <f>F10*Tarifas!D4</f>
        <v/>
      </c>
      <c r="H10" s="12">
        <f>SUMIFS(Datos!$L:$L,Datos!$E:$E,$A10,Datos!$I:$I,"&gt;="&amp;$G$3,Datos!$I:$I,"&lt;="&amp;$G$4,Datos!$A:$A,IF($D$4="TODAS","*",$D$4),Datos!$G:$G,"CAMPO",Datos!$H:$H,"LIBERADA")</f>
        <v/>
      </c>
      <c r="I10" s="13">
        <f>H10*Tarifas!E4</f>
        <v/>
      </c>
      <c r="J10" s="12">
        <f>SUMIFS(Datos!$L:$L,Datos!$E:$E,$A10,Datos!$I:$I,"&gt;="&amp;$G$3,Datos!$I:$I,"&lt;="&amp;$G$4,Datos!$A:$A,IF($D$4="TODAS","*",$D$4),Datos!$G:$G,"SIN DEFINIR")</f>
        <v/>
      </c>
      <c r="K10" s="13">
        <f>C10+E10+G10+I10</f>
        <v/>
      </c>
    </row>
    <row r="11">
      <c r="A11" s="4" t="inlineStr">
        <is>
          <t>3/4"</t>
        </is>
      </c>
      <c r="B11" s="12">
        <f>SUMIFS(Datos!$L:$L,Datos!$E:$E,$A11,Datos!$I:$I,"&gt;="&amp;$G$3,Datos!$I:$I,"&lt;="&amp;$G$4,Datos!$A:$A,IF($D$4="TODAS","*",$D$4),Datos!$G:$G,"TALLER",Datos!$H:$H,"SOLDADA")</f>
        <v/>
      </c>
      <c r="C11" s="13">
        <f>B11*Tarifas!B5</f>
        <v/>
      </c>
      <c r="D11" s="12">
        <f>SUMIFS(Datos!$L:$L,Datos!$E:$E,$A11,Datos!$I:$I,"&gt;="&amp;$G$3,Datos!$I:$I,"&lt;="&amp;$G$4,Datos!$A:$A,IF($D$4="TODAS","*",$D$4),Datos!$G:$G,"TALLER",Datos!$H:$H,"LIBERADA")</f>
        <v/>
      </c>
      <c r="E11" s="13">
        <f>D11*Tarifas!C5</f>
        <v/>
      </c>
      <c r="F11" s="12">
        <f>SUMIFS(Datos!$L:$L,Datos!$E:$E,$A11,Datos!$I:$I,"&gt;="&amp;$G$3,Datos!$I:$I,"&lt;="&amp;$G$4,Datos!$A:$A,IF($D$4="TODAS","*",$D$4),Datos!$G:$G,"CAMPO",Datos!$H:$H,"SOLDADA")</f>
        <v/>
      </c>
      <c r="G11" s="13">
        <f>F11*Tarifas!D5</f>
        <v/>
      </c>
      <c r="H11" s="12">
        <f>SUMIFS(Datos!$L:$L,Datos!$E:$E,$A11,Datos!$I:$I,"&gt;="&amp;$G$3,Datos!$I:$I,"&lt;="&amp;$G$4,Datos!$A:$A,IF($D$4="TODAS","*",$D$4),Datos!$G:$G,"CAMPO",Datos!$H:$H,"LIBERADA")</f>
        <v/>
      </c>
      <c r="I11" s="13">
        <f>H11*Tarifas!E5</f>
        <v/>
      </c>
      <c r="J11" s="12">
        <f>SUMIFS(Datos!$L:$L,Datos!$E:$E,$A11,Datos!$I:$I,"&gt;="&amp;$G$3,Datos!$I:$I,"&lt;="&amp;$G$4,Datos!$A:$A,IF($D$4="TODAS","*",$D$4),Datos!$G:$G,"SIN DEFINIR")</f>
        <v/>
      </c>
      <c r="K11" s="13">
        <f>C11+E11+G11+I11</f>
        <v/>
      </c>
    </row>
    <row r="12">
      <c r="A12" s="4" t="inlineStr">
        <is>
          <t>1"</t>
        </is>
      </c>
      <c r="B12" s="12">
        <f>SUMIFS(Datos!$L:$L,Datos!$E:$E,$A12,Datos!$I:$I,"&gt;="&amp;$G$3,Datos!$I:$I,"&lt;="&amp;$G$4,Datos!$A:$A,IF($D$4="TODAS","*",$D$4),Datos!$G:$G,"TALLER",Datos!$H:$H,"SOLDADA")</f>
        <v/>
      </c>
      <c r="C12" s="13">
        <f>B12*Tarifas!B6</f>
        <v/>
      </c>
      <c r="D12" s="12">
        <f>SUMIFS(Datos!$L:$L,Datos!$E:$E,$A12,Datos!$I:$I,"&gt;="&amp;$G$3,Datos!$I:$I,"&lt;="&amp;$G$4,Datos!$A:$A,IF($D$4="TODAS","*",$D$4),Datos!$G:$G,"TALLER",Datos!$H:$H,"LIBERADA")</f>
        <v/>
      </c>
      <c r="E12" s="13">
        <f>D12*Tarifas!C6</f>
        <v/>
      </c>
      <c r="F12" s="12">
        <f>SUMIFS(Datos!$L:$L,Datos!$E:$E,$A12,Datos!$I:$I,"&gt;="&amp;$G$3,Datos!$I:$I,"&lt;="&amp;$G$4,Datos!$A:$A,IF($D$4="TODAS","*",$D$4),Datos!$G:$G,"CAMPO",Datos!$H:$H,"SOLDADA")</f>
        <v/>
      </c>
      <c r="G12" s="13">
        <f>F12*Tarifas!D6</f>
        <v/>
      </c>
      <c r="H12" s="12">
        <f>SUMIFS(Datos!$L:$L,Datos!$E:$E,$A12,Datos!$I:$I,"&gt;="&amp;$G$3,Datos!$I:$I,"&lt;="&amp;$G$4,Datos!$A:$A,IF($D$4="TODAS","*",$D$4),Datos!$G:$G,"CAMPO",Datos!$H:$H,"LIBERADA")</f>
        <v/>
      </c>
      <c r="I12" s="13">
        <f>H12*Tarifas!E6</f>
        <v/>
      </c>
      <c r="J12" s="12">
        <f>SUMIFS(Datos!$L:$L,Datos!$E:$E,$A12,Datos!$I:$I,"&gt;="&amp;$G$3,Datos!$I:$I,"&lt;="&amp;$G$4,Datos!$A:$A,IF($D$4="TODAS","*",$D$4),Datos!$G:$G,"SIN DEFINIR")</f>
        <v/>
      </c>
      <c r="K12" s="13">
        <f>C12+E12+G12+I12</f>
        <v/>
      </c>
    </row>
    <row r="13">
      <c r="A13" s="4" t="inlineStr">
        <is>
          <t>1-1/4"</t>
        </is>
      </c>
      <c r="B13" s="12">
        <f>SUMIFS(Datos!$L:$L,Datos!$E:$E,$A13,Datos!$I:$I,"&gt;="&amp;$G$3,Datos!$I:$I,"&lt;="&amp;$G$4,Datos!$A:$A,IF($D$4="TODAS","*",$D$4),Datos!$G:$G,"TALLER",Datos!$H:$H,"SOLDADA")</f>
        <v/>
      </c>
      <c r="C13" s="13">
        <f>B13*Tarifas!B7</f>
        <v/>
      </c>
      <c r="D13" s="12">
        <f>SUMIFS(Datos!$L:$L,Datos!$E:$E,$A13,Datos!$I:$I,"&gt;="&amp;$G$3,Datos!$I:$I,"&lt;="&amp;$G$4,Datos!$A:$A,IF($D$4="TODAS","*",$D$4),Datos!$G:$G,"TALLER",Datos!$H:$H,"LIBERADA")</f>
        <v/>
      </c>
      <c r="E13" s="13">
        <f>D13*Tarifas!C7</f>
        <v/>
      </c>
      <c r="F13" s="12">
        <f>SUMIFS(Datos!$L:$L,Datos!$E:$E,$A13,Datos!$I:$I,"&gt;="&amp;$G$3,Datos!$I:$I,"&lt;="&amp;$G$4,Datos!$A:$A,IF($D$4="TODAS","*",$D$4),Datos!$G:$G,"CAMPO",Datos!$H:$H,"SOLDADA")</f>
        <v/>
      </c>
      <c r="G13" s="13">
        <f>F13*Tarifas!D7</f>
        <v/>
      </c>
      <c r="H13" s="12">
        <f>SUMIFS(Datos!$L:$L,Datos!$E:$E,$A13,Datos!$I:$I,"&gt;="&amp;$G$3,Datos!$I:$I,"&lt;="&amp;$G$4,Datos!$A:$A,IF($D$4="TODAS","*",$D$4),Datos!$G:$G,"CAMPO",Datos!$H:$H,"LIBERADA")</f>
        <v/>
      </c>
      <c r="I13" s="13">
        <f>H13*Tarifas!E7</f>
        <v/>
      </c>
      <c r="J13" s="12">
        <f>SUMIFS(Datos!$L:$L,Datos!$E:$E,$A13,Datos!$I:$I,"&gt;="&amp;$G$3,Datos!$I:$I,"&lt;="&amp;$G$4,Datos!$A:$A,IF($D$4="TODAS","*",$D$4),Datos!$G:$G,"SIN DEFINIR")</f>
        <v/>
      </c>
      <c r="K13" s="13">
        <f>C13+E13+G13+I13</f>
        <v/>
      </c>
    </row>
    <row r="14">
      <c r="A14" s="4" t="inlineStr">
        <is>
          <t>1-1/2"</t>
        </is>
      </c>
      <c r="B14" s="12">
        <f>SUMIFS(Datos!$L:$L,Datos!$E:$E,$A14,Datos!$I:$I,"&gt;="&amp;$G$3,Datos!$I:$I,"&lt;="&amp;$G$4,Datos!$A:$A,IF($D$4="TODAS","*",$D$4),Datos!$G:$G,"TALLER",Datos!$H:$H,"SOLDADA")</f>
        <v/>
      </c>
      <c r="C14" s="13">
        <f>B14*Tarifas!B8</f>
        <v/>
      </c>
      <c r="D14" s="12">
        <f>SUMIFS(Datos!$L:$L,Datos!$E:$E,$A14,Datos!$I:$I,"&gt;="&amp;$G$3,Datos!$I:$I,"&lt;="&amp;$G$4,Datos!$A:$A,IF($D$4="TODAS","*",$D$4),Datos!$G:$G,"TALLER",Datos!$H:$H,"LIBERADA")</f>
        <v/>
      </c>
      <c r="E14" s="13">
        <f>D14*Tarifas!C8</f>
        <v/>
      </c>
      <c r="F14" s="12">
        <f>SUMIFS(Datos!$L:$L,Datos!$E:$E,$A14,Datos!$I:$I,"&gt;="&amp;$G$3,Datos!$I:$I,"&lt;="&amp;$G$4,Datos!$A:$A,IF($D$4="TODAS","*",$D$4),Datos!$G:$G,"CAMPO",Datos!$H:$H,"SOLDADA")</f>
        <v/>
      </c>
      <c r="G14" s="13">
        <f>F14*Tarifas!D8</f>
        <v/>
      </c>
      <c r="H14" s="12">
        <f>SUMIFS(Datos!$L:$L,Datos!$E:$E,$A14,Datos!$I:$I,"&gt;="&amp;$G$3,Datos!$I:$I,"&lt;="&amp;$G$4,Datos!$A:$A,IF($D$4="TODAS","*",$D$4),Datos!$G:$G,"CAMPO",Datos!$H:$H,"LIBERADA")</f>
        <v/>
      </c>
      <c r="I14" s="13">
        <f>H14*Tarifas!E8</f>
        <v/>
      </c>
      <c r="J14" s="12">
        <f>SUMIFS(Datos!$L:$L,Datos!$E:$E,$A14,Datos!$I:$I,"&gt;="&amp;$G$3,Datos!$I:$I,"&lt;="&amp;$G$4,Datos!$A:$A,IF($D$4="TODAS","*",$D$4),Datos!$G:$G,"SIN DEFINIR")</f>
        <v/>
      </c>
      <c r="K14" s="13">
        <f>C14+E14+G14+I14</f>
        <v/>
      </c>
    </row>
    <row r="15">
      <c r="A15" s="4" t="inlineStr">
        <is>
          <t>2"</t>
        </is>
      </c>
      <c r="B15" s="12">
        <f>SUMIFS(Datos!$L:$L,Datos!$E:$E,$A15,Datos!$I:$I,"&gt;="&amp;$G$3,Datos!$I:$I,"&lt;="&amp;$G$4,Datos!$A:$A,IF($D$4="TODAS","*",$D$4),Datos!$G:$G,"TALLER",Datos!$H:$H,"SOLDADA")</f>
        <v/>
      </c>
      <c r="C15" s="13">
        <f>B15*Tarifas!B9</f>
        <v/>
      </c>
      <c r="D15" s="12">
        <f>SUMIFS(Datos!$L:$L,Datos!$E:$E,$A15,Datos!$I:$I,"&gt;="&amp;$G$3,Datos!$I:$I,"&lt;="&amp;$G$4,Datos!$A:$A,IF($D$4="TODAS","*",$D$4),Datos!$G:$G,"TALLER",Datos!$H:$H,"LIBERADA")</f>
        <v/>
      </c>
      <c r="E15" s="13">
        <f>D15*Tarifas!C9</f>
        <v/>
      </c>
      <c r="F15" s="12">
        <f>SUMIFS(Datos!$L:$L,Datos!$E:$E,$A15,Datos!$I:$I,"&gt;="&amp;$G$3,Datos!$I:$I,"&lt;="&amp;$G$4,Datos!$A:$A,IF($D$4="TODAS","*",$D$4),Datos!$G:$G,"CAMPO",Datos!$H:$H,"SOLDADA")</f>
        <v/>
      </c>
      <c r="G15" s="13">
        <f>F15*Tarifas!D9</f>
        <v/>
      </c>
      <c r="H15" s="12">
        <f>SUMIFS(Datos!$L:$L,Datos!$E:$E,$A15,Datos!$I:$I,"&gt;="&amp;$G$3,Datos!$I:$I,"&lt;="&amp;$G$4,Datos!$A:$A,IF($D$4="TODAS","*",$D$4),Datos!$G:$G,"CAMPO",Datos!$H:$H,"LIBERADA")</f>
        <v/>
      </c>
      <c r="I15" s="13">
        <f>H15*Tarifas!E9</f>
        <v/>
      </c>
      <c r="J15" s="12">
        <f>SUMIFS(Datos!$L:$L,Datos!$E:$E,$A15,Datos!$I:$I,"&gt;="&amp;$G$3,Datos!$I:$I,"&lt;="&amp;$G$4,Datos!$A:$A,IF($D$4="TODAS","*",$D$4),Datos!$G:$G,"SIN DEFINIR")</f>
        <v/>
      </c>
      <c r="K15" s="13">
        <f>C15+E15+G15+I15</f>
        <v/>
      </c>
    </row>
    <row r="16">
      <c r="A16" s="4" t="inlineStr">
        <is>
          <t>2-1/2"</t>
        </is>
      </c>
      <c r="B16" s="12">
        <f>SUMIFS(Datos!$L:$L,Datos!$E:$E,$A16,Datos!$I:$I,"&gt;="&amp;$G$3,Datos!$I:$I,"&lt;="&amp;$G$4,Datos!$A:$A,IF($D$4="TODAS","*",$D$4),Datos!$G:$G,"TALLER",Datos!$H:$H,"SOLDADA")</f>
        <v/>
      </c>
      <c r="C16" s="13">
        <f>B16*Tarifas!B10</f>
        <v/>
      </c>
      <c r="D16" s="12">
        <f>SUMIFS(Datos!$L:$L,Datos!$E:$E,$A16,Datos!$I:$I,"&gt;="&amp;$G$3,Datos!$I:$I,"&lt;="&amp;$G$4,Datos!$A:$A,IF($D$4="TODAS","*",$D$4),Datos!$G:$G,"TALLER",Datos!$H:$H,"LIBERADA")</f>
        <v/>
      </c>
      <c r="E16" s="13">
        <f>D16*Tarifas!C10</f>
        <v/>
      </c>
      <c r="F16" s="12">
        <f>SUMIFS(Datos!$L:$L,Datos!$E:$E,$A16,Datos!$I:$I,"&gt;="&amp;$G$3,Datos!$I:$I,"&lt;="&amp;$G$4,Datos!$A:$A,IF($D$4="TODAS","*",$D$4),Datos!$G:$G,"CAMPO",Datos!$H:$H,"SOLDADA")</f>
        <v/>
      </c>
      <c r="G16" s="13">
        <f>F16*Tarifas!D10</f>
        <v/>
      </c>
      <c r="H16" s="12">
        <f>SUMIFS(Datos!$L:$L,Datos!$E:$E,$A16,Datos!$I:$I,"&gt;="&amp;$G$3,Datos!$I:$I,"&lt;="&amp;$G$4,Datos!$A:$A,IF($D$4="TODAS","*",$D$4),Datos!$G:$G,"CAMPO",Datos!$H:$H,"LIBERADA")</f>
        <v/>
      </c>
      <c r="I16" s="13">
        <f>H16*Tarifas!E10</f>
        <v/>
      </c>
      <c r="J16" s="12">
        <f>SUMIFS(Datos!$L:$L,Datos!$E:$E,$A16,Datos!$I:$I,"&gt;="&amp;$G$3,Datos!$I:$I,"&lt;="&amp;$G$4,Datos!$A:$A,IF($D$4="TODAS","*",$D$4),Datos!$G:$G,"SIN DEFINIR")</f>
        <v/>
      </c>
      <c r="K16" s="13">
        <f>C16+E16+G16+I16</f>
        <v/>
      </c>
    </row>
    <row r="17">
      <c r="A17" s="4" t="inlineStr">
        <is>
          <t>3"</t>
        </is>
      </c>
      <c r="B17" s="12">
        <f>SUMIFS(Datos!$L:$L,Datos!$E:$E,$A17,Datos!$I:$I,"&gt;="&amp;$G$3,Datos!$I:$I,"&lt;="&amp;$G$4,Datos!$A:$A,IF($D$4="TODAS","*",$D$4),Datos!$G:$G,"TALLER",Datos!$H:$H,"SOLDADA")</f>
        <v/>
      </c>
      <c r="C17" s="13">
        <f>B17*Tarifas!B11</f>
        <v/>
      </c>
      <c r="D17" s="12">
        <f>SUMIFS(Datos!$L:$L,Datos!$E:$E,$A17,Datos!$I:$I,"&gt;="&amp;$G$3,Datos!$I:$I,"&lt;="&amp;$G$4,Datos!$A:$A,IF($D$4="TODAS","*",$D$4),Datos!$G:$G,"TALLER",Datos!$H:$H,"LIBERADA")</f>
        <v/>
      </c>
      <c r="E17" s="13">
        <f>D17*Tarifas!C11</f>
        <v/>
      </c>
      <c r="F17" s="12">
        <f>SUMIFS(Datos!$L:$L,Datos!$E:$E,$A17,Datos!$I:$I,"&gt;="&amp;$G$3,Datos!$I:$I,"&lt;="&amp;$G$4,Datos!$A:$A,IF($D$4="TODAS","*",$D$4),Datos!$G:$G,"CAMPO",Datos!$H:$H,"SOLDADA")</f>
        <v/>
      </c>
      <c r="G17" s="13">
        <f>F17*Tarifas!D11</f>
        <v/>
      </c>
      <c r="H17" s="12">
        <f>SUMIFS(Datos!$L:$L,Datos!$E:$E,$A17,Datos!$I:$I,"&gt;="&amp;$G$3,Datos!$I:$I,"&lt;="&amp;$G$4,Datos!$A:$A,IF($D$4="TODAS","*",$D$4),Datos!$G:$G,"CAMPO",Datos!$H:$H,"LIBERADA")</f>
        <v/>
      </c>
      <c r="I17" s="13">
        <f>H17*Tarifas!E11</f>
        <v/>
      </c>
      <c r="J17" s="12">
        <f>SUMIFS(Datos!$L:$L,Datos!$E:$E,$A17,Datos!$I:$I,"&gt;="&amp;$G$3,Datos!$I:$I,"&lt;="&amp;$G$4,Datos!$A:$A,IF($D$4="TODAS","*",$D$4),Datos!$G:$G,"SIN DEFINIR")</f>
        <v/>
      </c>
      <c r="K17" s="13">
        <f>C17+E17+G17+I17</f>
        <v/>
      </c>
    </row>
    <row r="18">
      <c r="A18" s="4" t="inlineStr">
        <is>
          <t>4"</t>
        </is>
      </c>
      <c r="B18" s="12">
        <f>SUMIFS(Datos!$L:$L,Datos!$E:$E,$A18,Datos!$I:$I,"&gt;="&amp;$G$3,Datos!$I:$I,"&lt;="&amp;$G$4,Datos!$A:$A,IF($D$4="TODAS","*",$D$4),Datos!$G:$G,"TALLER",Datos!$H:$H,"SOLDADA")</f>
        <v/>
      </c>
      <c r="C18" s="13">
        <f>B18*Tarifas!B12</f>
        <v/>
      </c>
      <c r="D18" s="12">
        <f>SUMIFS(Datos!$L:$L,Datos!$E:$E,$A18,Datos!$I:$I,"&gt;="&amp;$G$3,Datos!$I:$I,"&lt;="&amp;$G$4,Datos!$A:$A,IF($D$4="TODAS","*",$D$4),Datos!$G:$G,"TALLER",Datos!$H:$H,"LIBERADA")</f>
        <v/>
      </c>
      <c r="E18" s="13">
        <f>D18*Tarifas!C12</f>
        <v/>
      </c>
      <c r="F18" s="12">
        <f>SUMIFS(Datos!$L:$L,Datos!$E:$E,$A18,Datos!$I:$I,"&gt;="&amp;$G$3,Datos!$I:$I,"&lt;="&amp;$G$4,Datos!$A:$A,IF($D$4="TODAS","*",$D$4),Datos!$G:$G,"CAMPO",Datos!$H:$H,"SOLDADA")</f>
        <v/>
      </c>
      <c r="G18" s="13">
        <f>F18*Tarifas!D12</f>
        <v/>
      </c>
      <c r="H18" s="12">
        <f>SUMIFS(Datos!$L:$L,Datos!$E:$E,$A18,Datos!$I:$I,"&gt;="&amp;$G$3,Datos!$I:$I,"&lt;="&amp;$G$4,Datos!$A:$A,IF($D$4="TODAS","*",$D$4),Datos!$G:$G,"CAMPO",Datos!$H:$H,"LIBERADA")</f>
        <v/>
      </c>
      <c r="I18" s="13">
        <f>H18*Tarifas!E12</f>
        <v/>
      </c>
      <c r="J18" s="12">
        <f>SUMIFS(Datos!$L:$L,Datos!$E:$E,$A18,Datos!$I:$I,"&gt;="&amp;$G$3,Datos!$I:$I,"&lt;="&amp;$G$4,Datos!$A:$A,IF($D$4="TODAS","*",$D$4),Datos!$G:$G,"SIN DEFINIR")</f>
        <v/>
      </c>
      <c r="K18" s="13">
        <f>C18+E18+G18+I18</f>
        <v/>
      </c>
    </row>
    <row r="19">
      <c r="A19" s="4" t="inlineStr">
        <is>
          <t>6"</t>
        </is>
      </c>
      <c r="B19" s="12">
        <f>SUMIFS(Datos!$L:$L,Datos!$E:$E,$A19,Datos!$I:$I,"&gt;="&amp;$G$3,Datos!$I:$I,"&lt;="&amp;$G$4,Datos!$A:$A,IF($D$4="TODAS","*",$D$4),Datos!$G:$G,"TALLER",Datos!$H:$H,"SOLDADA")</f>
        <v/>
      </c>
      <c r="C19" s="13">
        <f>B19*Tarifas!B13</f>
        <v/>
      </c>
      <c r="D19" s="12">
        <f>SUMIFS(Datos!$L:$L,Datos!$E:$E,$A19,Datos!$I:$I,"&gt;="&amp;$G$3,Datos!$I:$I,"&lt;="&amp;$G$4,Datos!$A:$A,IF($D$4="TODAS","*",$D$4),Datos!$G:$G,"TALLER",Datos!$H:$H,"LIBERADA")</f>
        <v/>
      </c>
      <c r="E19" s="13">
        <f>D19*Tarifas!C13</f>
        <v/>
      </c>
      <c r="F19" s="12">
        <f>SUMIFS(Datos!$L:$L,Datos!$E:$E,$A19,Datos!$I:$I,"&gt;="&amp;$G$3,Datos!$I:$I,"&lt;="&amp;$G$4,Datos!$A:$A,IF($D$4="TODAS","*",$D$4),Datos!$G:$G,"CAMPO",Datos!$H:$H,"SOLDADA")</f>
        <v/>
      </c>
      <c r="G19" s="13">
        <f>F19*Tarifas!D13</f>
        <v/>
      </c>
      <c r="H19" s="12">
        <f>SUMIFS(Datos!$L:$L,Datos!$E:$E,$A19,Datos!$I:$I,"&gt;="&amp;$G$3,Datos!$I:$I,"&lt;="&amp;$G$4,Datos!$A:$A,IF($D$4="TODAS","*",$D$4),Datos!$G:$G,"CAMPO",Datos!$H:$H,"LIBERADA")</f>
        <v/>
      </c>
      <c r="I19" s="13">
        <f>H19*Tarifas!E13</f>
        <v/>
      </c>
      <c r="J19" s="12">
        <f>SUMIFS(Datos!$L:$L,Datos!$E:$E,$A19,Datos!$I:$I,"&gt;="&amp;$G$3,Datos!$I:$I,"&lt;="&amp;$G$4,Datos!$A:$A,IF($D$4="TODAS","*",$D$4),Datos!$G:$G,"SIN DEFINIR")</f>
        <v/>
      </c>
      <c r="K19" s="13">
        <f>C19+E19+G19+I19</f>
        <v/>
      </c>
    </row>
    <row r="20">
      <c r="A20" s="4" t="inlineStr">
        <is>
          <t>8"</t>
        </is>
      </c>
      <c r="B20" s="12">
        <f>SUMIFS(Datos!$L:$L,Datos!$E:$E,$A20,Datos!$I:$I,"&gt;="&amp;$G$3,Datos!$I:$I,"&lt;="&amp;$G$4,Datos!$A:$A,IF($D$4="TODAS","*",$D$4),Datos!$G:$G,"TALLER",Datos!$H:$H,"SOLDADA")</f>
        <v/>
      </c>
      <c r="C20" s="13">
        <f>B20*Tarifas!B14</f>
        <v/>
      </c>
      <c r="D20" s="12">
        <f>SUMIFS(Datos!$L:$L,Datos!$E:$E,$A20,Datos!$I:$I,"&gt;="&amp;$G$3,Datos!$I:$I,"&lt;="&amp;$G$4,Datos!$A:$A,IF($D$4="TODAS","*",$D$4),Datos!$G:$G,"TALLER",Datos!$H:$H,"LIBERADA")</f>
        <v/>
      </c>
      <c r="E20" s="13">
        <f>D20*Tarifas!C14</f>
        <v/>
      </c>
      <c r="F20" s="12">
        <f>SUMIFS(Datos!$L:$L,Datos!$E:$E,$A20,Datos!$I:$I,"&gt;="&amp;$G$3,Datos!$I:$I,"&lt;="&amp;$G$4,Datos!$A:$A,IF($D$4="TODAS","*",$D$4),Datos!$G:$G,"CAMPO",Datos!$H:$H,"SOLDADA")</f>
        <v/>
      </c>
      <c r="G20" s="13">
        <f>F20*Tarifas!D14</f>
        <v/>
      </c>
      <c r="H20" s="12">
        <f>SUMIFS(Datos!$L:$L,Datos!$E:$E,$A20,Datos!$I:$I,"&gt;="&amp;$G$3,Datos!$I:$I,"&lt;="&amp;$G$4,Datos!$A:$A,IF($D$4="TODAS","*",$D$4),Datos!$G:$G,"CAMPO",Datos!$H:$H,"LIBERADA")</f>
        <v/>
      </c>
      <c r="I20" s="13">
        <f>H20*Tarifas!E14</f>
        <v/>
      </c>
      <c r="J20" s="12">
        <f>SUMIFS(Datos!$L:$L,Datos!$E:$E,$A20,Datos!$I:$I,"&gt;="&amp;$G$3,Datos!$I:$I,"&lt;="&amp;$G$4,Datos!$A:$A,IF($D$4="TODAS","*",$D$4),Datos!$G:$G,"SIN DEFINIR")</f>
        <v/>
      </c>
      <c r="K20" s="13">
        <f>C20+E20+G20+I20</f>
        <v/>
      </c>
    </row>
    <row r="21">
      <c r="A21" s="4" t="inlineStr">
        <is>
          <t>10"</t>
        </is>
      </c>
      <c r="B21" s="12">
        <f>SUMIFS(Datos!$L:$L,Datos!$E:$E,$A21,Datos!$I:$I,"&gt;="&amp;$G$3,Datos!$I:$I,"&lt;="&amp;$G$4,Datos!$A:$A,IF($D$4="TODAS","*",$D$4),Datos!$G:$G,"TALLER",Datos!$H:$H,"SOLDADA")</f>
        <v/>
      </c>
      <c r="C21" s="13">
        <f>B21*Tarifas!B15</f>
        <v/>
      </c>
      <c r="D21" s="12">
        <f>SUMIFS(Datos!$L:$L,Datos!$E:$E,$A21,Datos!$I:$I,"&gt;="&amp;$G$3,Datos!$I:$I,"&lt;="&amp;$G$4,Datos!$A:$A,IF($D$4="TODAS","*",$D$4),Datos!$G:$G,"TALLER",Datos!$H:$H,"LIBERADA")</f>
        <v/>
      </c>
      <c r="E21" s="13">
        <f>D21*Tarifas!C15</f>
        <v/>
      </c>
      <c r="F21" s="12">
        <f>SUMIFS(Datos!$L:$L,Datos!$E:$E,$A21,Datos!$I:$I,"&gt;="&amp;$G$3,Datos!$I:$I,"&lt;="&amp;$G$4,Datos!$A:$A,IF($D$4="TODAS","*",$D$4),Datos!$G:$G,"CAMPO",Datos!$H:$H,"SOLDADA")</f>
        <v/>
      </c>
      <c r="G21" s="13">
        <f>F21*Tarifas!D15</f>
        <v/>
      </c>
      <c r="H21" s="12">
        <f>SUMIFS(Datos!$L:$L,Datos!$E:$E,$A21,Datos!$I:$I,"&gt;="&amp;$G$3,Datos!$I:$I,"&lt;="&amp;$G$4,Datos!$A:$A,IF($D$4="TODAS","*",$D$4),Datos!$G:$G,"CAMPO",Datos!$H:$H,"LIBERADA")</f>
        <v/>
      </c>
      <c r="I21" s="13">
        <f>H21*Tarifas!E15</f>
        <v/>
      </c>
      <c r="J21" s="12">
        <f>SUMIFS(Datos!$L:$L,Datos!$E:$E,$A21,Datos!$I:$I,"&gt;="&amp;$G$3,Datos!$I:$I,"&lt;="&amp;$G$4,Datos!$A:$A,IF($D$4="TODAS","*",$D$4),Datos!$G:$G,"SIN DEFINIR")</f>
        <v/>
      </c>
      <c r="K21" s="13">
        <f>C21+E21+G21+I21</f>
        <v/>
      </c>
    </row>
    <row r="22">
      <c r="A22" s="4" t="inlineStr">
        <is>
          <t>12"</t>
        </is>
      </c>
      <c r="B22" s="12">
        <f>SUMIFS(Datos!$L:$L,Datos!$E:$E,$A22,Datos!$I:$I,"&gt;="&amp;$G$3,Datos!$I:$I,"&lt;="&amp;$G$4,Datos!$A:$A,IF($D$4="TODAS","*",$D$4),Datos!$G:$G,"TALLER",Datos!$H:$H,"SOLDADA")</f>
        <v/>
      </c>
      <c r="C22" s="13">
        <f>B22*Tarifas!B16</f>
        <v/>
      </c>
      <c r="D22" s="12">
        <f>SUMIFS(Datos!$L:$L,Datos!$E:$E,$A22,Datos!$I:$I,"&gt;="&amp;$G$3,Datos!$I:$I,"&lt;="&amp;$G$4,Datos!$A:$A,IF($D$4="TODAS","*",$D$4),Datos!$G:$G,"TALLER",Datos!$H:$H,"LIBERADA")</f>
        <v/>
      </c>
      <c r="E22" s="13">
        <f>D22*Tarifas!C16</f>
        <v/>
      </c>
      <c r="F22" s="12">
        <f>SUMIFS(Datos!$L:$L,Datos!$E:$E,$A22,Datos!$I:$I,"&gt;="&amp;$G$3,Datos!$I:$I,"&lt;="&amp;$G$4,Datos!$A:$A,IF($D$4="TODAS","*",$D$4),Datos!$G:$G,"CAMPO",Datos!$H:$H,"SOLDADA")</f>
        <v/>
      </c>
      <c r="G22" s="13">
        <f>F22*Tarifas!D16</f>
        <v/>
      </c>
      <c r="H22" s="12">
        <f>SUMIFS(Datos!$L:$L,Datos!$E:$E,$A22,Datos!$I:$I,"&gt;="&amp;$G$3,Datos!$I:$I,"&lt;="&amp;$G$4,Datos!$A:$A,IF($D$4="TODAS","*",$D$4),Datos!$G:$G,"CAMPO",Datos!$H:$H,"LIBERADA")</f>
        <v/>
      </c>
      <c r="I22" s="13">
        <f>H22*Tarifas!E16</f>
        <v/>
      </c>
      <c r="J22" s="12">
        <f>SUMIFS(Datos!$L:$L,Datos!$E:$E,$A22,Datos!$I:$I,"&gt;="&amp;$G$3,Datos!$I:$I,"&lt;="&amp;$G$4,Datos!$A:$A,IF($D$4="TODAS","*",$D$4),Datos!$G:$G,"SIN DEFINIR")</f>
        <v/>
      </c>
      <c r="K22" s="13">
        <f>C22+E22+G22+I22</f>
        <v/>
      </c>
    </row>
    <row r="23">
      <c r="A23" s="4" t="inlineStr">
        <is>
          <t>14"</t>
        </is>
      </c>
      <c r="B23" s="12">
        <f>SUMIFS(Datos!$L:$L,Datos!$E:$E,$A23,Datos!$I:$I,"&gt;="&amp;$G$3,Datos!$I:$I,"&lt;="&amp;$G$4,Datos!$A:$A,IF($D$4="TODAS","*",$D$4),Datos!$G:$G,"TALLER",Datos!$H:$H,"SOLDADA")</f>
        <v/>
      </c>
      <c r="C23" s="13">
        <f>B23*Tarifas!B17</f>
        <v/>
      </c>
      <c r="D23" s="12">
        <f>SUMIFS(Datos!$L:$L,Datos!$E:$E,$A23,Datos!$I:$I,"&gt;="&amp;$G$3,Datos!$I:$I,"&lt;="&amp;$G$4,Datos!$A:$A,IF($D$4="TODAS","*",$D$4),Datos!$G:$G,"TALLER",Datos!$H:$H,"LIBERADA")</f>
        <v/>
      </c>
      <c r="E23" s="13">
        <f>D23*Tarifas!C17</f>
        <v/>
      </c>
      <c r="F23" s="12">
        <f>SUMIFS(Datos!$L:$L,Datos!$E:$E,$A23,Datos!$I:$I,"&gt;="&amp;$G$3,Datos!$I:$I,"&lt;="&amp;$G$4,Datos!$A:$A,IF($D$4="TODAS","*",$D$4),Datos!$G:$G,"CAMPO",Datos!$H:$H,"SOLDADA")</f>
        <v/>
      </c>
      <c r="G23" s="13">
        <f>F23*Tarifas!D17</f>
        <v/>
      </c>
      <c r="H23" s="12">
        <f>SUMIFS(Datos!$L:$L,Datos!$E:$E,$A23,Datos!$I:$I,"&gt;="&amp;$G$3,Datos!$I:$I,"&lt;="&amp;$G$4,Datos!$A:$A,IF($D$4="TODAS","*",$D$4),Datos!$G:$G,"CAMPO",Datos!$H:$H,"LIBERADA")</f>
        <v/>
      </c>
      <c r="I23" s="13">
        <f>H23*Tarifas!E17</f>
        <v/>
      </c>
      <c r="J23" s="12">
        <f>SUMIFS(Datos!$L:$L,Datos!$E:$E,$A23,Datos!$I:$I,"&gt;="&amp;$G$3,Datos!$I:$I,"&lt;="&amp;$G$4,Datos!$A:$A,IF($D$4="TODAS","*",$D$4),Datos!$G:$G,"SIN DEFINIR")</f>
        <v/>
      </c>
      <c r="K23" s="13">
        <f>C23+E23+G23+I23</f>
        <v/>
      </c>
    </row>
    <row r="24">
      <c r="A24" s="4" t="inlineStr">
        <is>
          <t>16"</t>
        </is>
      </c>
      <c r="B24" s="12">
        <f>SUMIFS(Datos!$L:$L,Datos!$E:$E,$A24,Datos!$I:$I,"&gt;="&amp;$G$3,Datos!$I:$I,"&lt;="&amp;$G$4,Datos!$A:$A,IF($D$4="TODAS","*",$D$4),Datos!$G:$G,"TALLER",Datos!$H:$H,"SOLDADA")</f>
        <v/>
      </c>
      <c r="C24" s="13">
        <f>B24*Tarifas!B18</f>
        <v/>
      </c>
      <c r="D24" s="12">
        <f>SUMIFS(Datos!$L:$L,Datos!$E:$E,$A24,Datos!$I:$I,"&gt;="&amp;$G$3,Datos!$I:$I,"&lt;="&amp;$G$4,Datos!$A:$A,IF($D$4="TODAS","*",$D$4),Datos!$G:$G,"TALLER",Datos!$H:$H,"LIBERADA")</f>
        <v/>
      </c>
      <c r="E24" s="13">
        <f>D24*Tarifas!C18</f>
        <v/>
      </c>
      <c r="F24" s="12">
        <f>SUMIFS(Datos!$L:$L,Datos!$E:$E,$A24,Datos!$I:$I,"&gt;="&amp;$G$3,Datos!$I:$I,"&lt;="&amp;$G$4,Datos!$A:$A,IF($D$4="TODAS","*",$D$4),Datos!$G:$G,"CAMPO",Datos!$H:$H,"SOLDADA")</f>
        <v/>
      </c>
      <c r="G24" s="13">
        <f>F24*Tarifas!D18</f>
        <v/>
      </c>
      <c r="H24" s="12">
        <f>SUMIFS(Datos!$L:$L,Datos!$E:$E,$A24,Datos!$I:$I,"&gt;="&amp;$G$3,Datos!$I:$I,"&lt;="&amp;$G$4,Datos!$A:$A,IF($D$4="TODAS","*",$D$4),Datos!$G:$G,"CAMPO",Datos!$H:$H,"LIBERADA")</f>
        <v/>
      </c>
      <c r="I24" s="13">
        <f>H24*Tarifas!E18</f>
        <v/>
      </c>
      <c r="J24" s="12">
        <f>SUMIFS(Datos!$L:$L,Datos!$E:$E,$A24,Datos!$I:$I,"&gt;="&amp;$G$3,Datos!$I:$I,"&lt;="&amp;$G$4,Datos!$A:$A,IF($D$4="TODAS","*",$D$4),Datos!$G:$G,"SIN DEFINIR")</f>
        <v/>
      </c>
      <c r="K24" s="13">
        <f>C24+E24+G24+I24</f>
        <v/>
      </c>
    </row>
    <row r="25">
      <c r="A25" s="4" t="inlineStr">
        <is>
          <t>18"</t>
        </is>
      </c>
      <c r="B25" s="12">
        <f>SUMIFS(Datos!$L:$L,Datos!$E:$E,$A25,Datos!$I:$I,"&gt;="&amp;$G$3,Datos!$I:$I,"&lt;="&amp;$G$4,Datos!$A:$A,IF($D$4="TODAS","*",$D$4),Datos!$G:$G,"TALLER",Datos!$H:$H,"SOLDADA")</f>
        <v/>
      </c>
      <c r="C25" s="13">
        <f>B25*Tarifas!B19</f>
        <v/>
      </c>
      <c r="D25" s="12">
        <f>SUMIFS(Datos!$L:$L,Datos!$E:$E,$A25,Datos!$I:$I,"&gt;="&amp;$G$3,Datos!$I:$I,"&lt;="&amp;$G$4,Datos!$A:$A,IF($D$4="TODAS","*",$D$4),Datos!$G:$G,"TALLER",Datos!$H:$H,"LIBERADA")</f>
        <v/>
      </c>
      <c r="E25" s="13">
        <f>D25*Tarifas!C19</f>
        <v/>
      </c>
      <c r="F25" s="12">
        <f>SUMIFS(Datos!$L:$L,Datos!$E:$E,$A25,Datos!$I:$I,"&gt;="&amp;$G$3,Datos!$I:$I,"&lt;="&amp;$G$4,Datos!$A:$A,IF($D$4="TODAS","*",$D$4),Datos!$G:$G,"CAMPO",Datos!$H:$H,"SOLDADA")</f>
        <v/>
      </c>
      <c r="G25" s="13">
        <f>F25*Tarifas!D19</f>
        <v/>
      </c>
      <c r="H25" s="12">
        <f>SUMIFS(Datos!$L:$L,Datos!$E:$E,$A25,Datos!$I:$I,"&gt;="&amp;$G$3,Datos!$I:$I,"&lt;="&amp;$G$4,Datos!$A:$A,IF($D$4="TODAS","*",$D$4),Datos!$G:$G,"CAMPO",Datos!$H:$H,"LIBERADA")</f>
        <v/>
      </c>
      <c r="I25" s="13">
        <f>H25*Tarifas!E19</f>
        <v/>
      </c>
      <c r="J25" s="12">
        <f>SUMIFS(Datos!$L:$L,Datos!$E:$E,$A25,Datos!$I:$I,"&gt;="&amp;$G$3,Datos!$I:$I,"&lt;="&amp;$G$4,Datos!$A:$A,IF($D$4="TODAS","*",$D$4),Datos!$G:$G,"SIN DEFINIR")</f>
        <v/>
      </c>
      <c r="K25" s="13">
        <f>C25+E25+G25+I25</f>
        <v/>
      </c>
    </row>
    <row r="26">
      <c r="A26" s="4" t="inlineStr">
        <is>
          <t>20"</t>
        </is>
      </c>
      <c r="B26" s="12">
        <f>SUMIFS(Datos!$L:$L,Datos!$E:$E,$A26,Datos!$I:$I,"&gt;="&amp;$G$3,Datos!$I:$I,"&lt;="&amp;$G$4,Datos!$A:$A,IF($D$4="TODAS","*",$D$4),Datos!$G:$G,"TALLER",Datos!$H:$H,"SOLDADA")</f>
        <v/>
      </c>
      <c r="C26" s="13">
        <f>B26*Tarifas!B20</f>
        <v/>
      </c>
      <c r="D26" s="12">
        <f>SUMIFS(Datos!$L:$L,Datos!$E:$E,$A26,Datos!$I:$I,"&gt;="&amp;$G$3,Datos!$I:$I,"&lt;="&amp;$G$4,Datos!$A:$A,IF($D$4="TODAS","*",$D$4),Datos!$G:$G,"TALLER",Datos!$H:$H,"LIBERADA")</f>
        <v/>
      </c>
      <c r="E26" s="13">
        <f>D26*Tarifas!C20</f>
        <v/>
      </c>
      <c r="F26" s="12">
        <f>SUMIFS(Datos!$L:$L,Datos!$E:$E,$A26,Datos!$I:$I,"&gt;="&amp;$G$3,Datos!$I:$I,"&lt;="&amp;$G$4,Datos!$A:$A,IF($D$4="TODAS","*",$D$4),Datos!$G:$G,"CAMPO",Datos!$H:$H,"SOLDADA")</f>
        <v/>
      </c>
      <c r="G26" s="13">
        <f>F26*Tarifas!D20</f>
        <v/>
      </c>
      <c r="H26" s="12">
        <f>SUMIFS(Datos!$L:$L,Datos!$E:$E,$A26,Datos!$I:$I,"&gt;="&amp;$G$3,Datos!$I:$I,"&lt;="&amp;$G$4,Datos!$A:$A,IF($D$4="TODAS","*",$D$4),Datos!$G:$G,"CAMPO",Datos!$H:$H,"LIBERADA")</f>
        <v/>
      </c>
      <c r="I26" s="13">
        <f>H26*Tarifas!E20</f>
        <v/>
      </c>
      <c r="J26" s="12">
        <f>SUMIFS(Datos!$L:$L,Datos!$E:$E,$A26,Datos!$I:$I,"&gt;="&amp;$G$3,Datos!$I:$I,"&lt;="&amp;$G$4,Datos!$A:$A,IF($D$4="TODAS","*",$D$4),Datos!$G:$G,"SIN DEFINIR")</f>
        <v/>
      </c>
      <c r="K26" s="13">
        <f>C26+E26+G26+I26</f>
        <v/>
      </c>
    </row>
    <row r="27">
      <c r="A27" s="4" t="inlineStr">
        <is>
          <t>24"</t>
        </is>
      </c>
      <c r="B27" s="12">
        <f>SUMIFS(Datos!$L:$L,Datos!$E:$E,$A27,Datos!$I:$I,"&gt;="&amp;$G$3,Datos!$I:$I,"&lt;="&amp;$G$4,Datos!$A:$A,IF($D$4="TODAS","*",$D$4),Datos!$G:$G,"TALLER",Datos!$H:$H,"SOLDADA")</f>
        <v/>
      </c>
      <c r="C27" s="13">
        <f>B27*Tarifas!B21</f>
        <v/>
      </c>
      <c r="D27" s="12">
        <f>SUMIFS(Datos!$L:$L,Datos!$E:$E,$A27,Datos!$I:$I,"&gt;="&amp;$G$3,Datos!$I:$I,"&lt;="&amp;$G$4,Datos!$A:$A,IF($D$4="TODAS","*",$D$4),Datos!$G:$G,"TALLER",Datos!$H:$H,"LIBERADA")</f>
        <v/>
      </c>
      <c r="E27" s="13">
        <f>D27*Tarifas!C21</f>
        <v/>
      </c>
      <c r="F27" s="12">
        <f>SUMIFS(Datos!$L:$L,Datos!$E:$E,$A27,Datos!$I:$I,"&gt;="&amp;$G$3,Datos!$I:$I,"&lt;="&amp;$G$4,Datos!$A:$A,IF($D$4="TODAS","*",$D$4),Datos!$G:$G,"CAMPO",Datos!$H:$H,"SOLDADA")</f>
        <v/>
      </c>
      <c r="G27" s="13">
        <f>F27*Tarifas!D21</f>
        <v/>
      </c>
      <c r="H27" s="12">
        <f>SUMIFS(Datos!$L:$L,Datos!$E:$E,$A27,Datos!$I:$I,"&gt;="&amp;$G$3,Datos!$I:$I,"&lt;="&amp;$G$4,Datos!$A:$A,IF($D$4="TODAS","*",$D$4),Datos!$G:$G,"CAMPO",Datos!$H:$H,"LIBERADA")</f>
        <v/>
      </c>
      <c r="I27" s="13">
        <f>H27*Tarifas!E21</f>
        <v/>
      </c>
      <c r="J27" s="12">
        <f>SUMIFS(Datos!$L:$L,Datos!$E:$E,$A27,Datos!$I:$I,"&gt;="&amp;$G$3,Datos!$I:$I,"&lt;="&amp;$G$4,Datos!$A:$A,IF($D$4="TODAS","*",$D$4),Datos!$G:$G,"SIN DEFINIR")</f>
        <v/>
      </c>
      <c r="K27" s="13">
        <f>C27+E27+G27+I27</f>
        <v/>
      </c>
    </row>
    <row r="28">
      <c r="A28" s="8" t="inlineStr">
        <is>
          <t>TOTAL</t>
        </is>
      </c>
      <c r="B28" s="14">
        <f>SUM(B8:B27)</f>
        <v/>
      </c>
      <c r="C28" s="15">
        <f>SUM(C8:C27)</f>
        <v/>
      </c>
      <c r="D28" s="14">
        <f>SUM(D8:D27)</f>
        <v/>
      </c>
      <c r="E28" s="15">
        <f>SUM(E8:E27)</f>
        <v/>
      </c>
      <c r="F28" s="14">
        <f>SUM(F8:F27)</f>
        <v/>
      </c>
      <c r="G28" s="15">
        <f>SUM(G8:G27)</f>
        <v/>
      </c>
      <c r="H28" s="14">
        <f>SUM(H8:H27)</f>
        <v/>
      </c>
      <c r="I28" s="15">
        <f>SUM(I8:I27)</f>
        <v/>
      </c>
      <c r="J28" s="14">
        <f>SUM(J8:J27)</f>
        <v/>
      </c>
      <c r="K28" s="15">
        <f>SUM(K8:K27)</f>
        <v/>
      </c>
    </row>
    <row r="30">
      <c r="A30" s="16" t="inlineStr">
        <is>
          <t>SIN DEFINIR = juntas sin taller/campo: no se valorizan hasta corregirlas en la obra.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2026-10-22T20:54:07Z</dcterms:created>
  <dcterms:modified xmlns:dcterms="http://purl.org/dc/terms/" xmlns:xsi="http://www.w3.org/2001/XMLSchema-instance" xsi:type="dcterms:W3CDTF">2026-10-22T20:54:07Z</dcterms:modified>
</cp:coreProperties>
</file>